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본데이터" sheetId="1" state="visible" r:id="rId1"/>
    <sheet name="별점분포" sheetId="2" state="visible" r:id="rId2"/>
    <sheet name="테마별피벗" sheetId="3" state="visible" r:id="rId3"/>
    <sheet name="부정리뷰_Top3" sheetId="4" state="visible" r:id="rId4"/>
    <sheet name="요약_인사이트" sheetId="5" state="visible" r:id="rId5"/>
  </sheets>
  <definedNames>
    <definedName name="_xlnm._FilterDatabase" localSheetId="0" hidden="1">'원본데이터'!$A$1:$G$21</definedName>
  </definedNames>
  <calcPr calcId="124519" calcMode="auto" fullCalcOnLoad="1"/>
</workbook>
</file>

<file path=xl/styles.xml><?xml version="1.0" encoding="utf-8"?>
<styleSheet xmlns="http://schemas.openxmlformats.org/spreadsheetml/2006/main">
  <numFmts count="2">
    <numFmt numFmtId="164" formatCode="yyyy-mm-dd"/>
    <numFmt numFmtId="165" formatCode="0.0%"/>
  </numFmts>
  <fonts count="13">
    <font>
      <name val="Calibri"/>
      <family val="2"/>
      <color theme="1"/>
      <sz val="11"/>
      <scheme val="minor"/>
    </font>
    <font>
      <name val="맑은 고딕"/>
      <b val="1"/>
      <color rgb="00FFFFFF"/>
      <sz val="11"/>
    </font>
    <font>
      <name val="맑은 고딕"/>
      <color rgb="00000000"/>
      <sz val="10"/>
    </font>
    <font>
      <name val="맑은 고딕"/>
      <i val="1"/>
      <color rgb="00808080"/>
      <sz val="9"/>
    </font>
    <font>
      <name val="맑은 고딕"/>
      <b val="1"/>
      <color rgb="00000000"/>
      <sz val="10"/>
    </font>
    <font>
      <name val="맑은 고딕"/>
      <b val="1"/>
      <color rgb="005C3A21"/>
      <sz val="11"/>
    </font>
    <font>
      <name val="맑은 고딕"/>
      <b val="1"/>
      <color rgb="005C3A21"/>
      <sz val="13"/>
    </font>
    <font>
      <name val="맑은 고딕"/>
      <b val="1"/>
      <color rgb="009C5700"/>
      <sz val="9.5"/>
    </font>
    <font>
      <name val="맑은 고딕"/>
      <b val="1"/>
      <color rgb="005C3A21"/>
      <sz val="15"/>
    </font>
    <font>
      <name val="맑은 고딕"/>
      <i val="1"/>
      <color rgb="00808080"/>
      <sz val="9.5"/>
    </font>
    <font>
      <name val="맑은 고딕"/>
      <b val="1"/>
      <color rgb="00000000"/>
      <sz val="9.5"/>
    </font>
    <font>
      <name val="맑은 고딕"/>
      <b val="1"/>
      <color rgb="005C3A21"/>
      <sz val="12"/>
    </font>
    <font>
      <name val="맑은 고딕"/>
      <color rgb="00000000"/>
      <sz val="10.5"/>
    </font>
  </fonts>
  <fills count="6">
    <fill>
      <patternFill/>
    </fill>
    <fill>
      <patternFill patternType="gray125"/>
    </fill>
    <fill>
      <patternFill patternType="solid">
        <fgColor rgb="005C3A21"/>
      </patternFill>
    </fill>
    <fill>
      <patternFill patternType="solid">
        <fgColor rgb="00F3E5D8"/>
      </patternFill>
    </fill>
    <fill>
      <patternFill patternType="solid">
        <fgColor rgb="00FCE4D6"/>
      </patternFill>
    </fill>
    <fill>
      <patternFill patternType="solid">
        <fgColor rgb="00EFEFE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center" vertical="center" wrapText="1"/>
    </xf>
    <xf numFmtId="164" fontId="2" fillId="0" borderId="1"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left" vertical="center" wrapText="1"/>
    </xf>
    <xf numFmtId="0" fontId="3" fillId="0" borderId="0" pivotButton="0" quotePrefix="0" xfId="0"/>
    <xf numFmtId="165" fontId="2" fillId="0" borderId="1" applyAlignment="1" pivotButton="0" quotePrefix="0" xfId="0">
      <alignment horizontal="center" vertical="center"/>
    </xf>
    <xf numFmtId="0" fontId="4" fillId="0" borderId="1" applyAlignment="1" pivotButton="0" quotePrefix="0" xfId="0">
      <alignment horizontal="center"/>
    </xf>
    <xf numFmtId="165" fontId="4" fillId="0" borderId="1" applyAlignment="1" pivotButton="0" quotePrefix="0" xfId="0">
      <alignment horizontal="center"/>
    </xf>
    <xf numFmtId="2" fontId="2" fillId="0" borderId="1" applyAlignment="1" pivotButton="0" quotePrefix="0" xfId="0">
      <alignment horizontal="center" vertical="center"/>
    </xf>
    <xf numFmtId="0" fontId="0" fillId="0" borderId="1" applyAlignment="1" pivotButton="0" quotePrefix="0" xfId="0">
      <alignment horizontal="center"/>
    </xf>
    <xf numFmtId="2" fontId="4" fillId="0" borderId="1" applyAlignment="1" pivotButton="0" quotePrefix="0" xfId="0">
      <alignment horizontal="center"/>
    </xf>
    <xf numFmtId="0" fontId="5" fillId="3" borderId="0" pivotButton="0" quotePrefix="0" xfId="0"/>
    <xf numFmtId="0" fontId="0" fillId="3" borderId="0" pivotButton="0" quotePrefix="0" xfId="0"/>
    <xf numFmtId="0" fontId="4" fillId="0" borderId="1" applyAlignment="1" pivotButton="0" quotePrefix="0" xfId="0">
      <alignment horizontal="center" vertical="center"/>
    </xf>
    <xf numFmtId="0" fontId="6" fillId="0" borderId="0" pivotButton="0" quotePrefix="0" xfId="0"/>
    <xf numFmtId="0" fontId="7" fillId="4" borderId="0" applyAlignment="1" pivotButton="0" quotePrefix="0" xfId="0">
      <alignment vertical="center" wrapText="1"/>
    </xf>
    <xf numFmtId="0" fontId="3" fillId="0" borderId="0" applyAlignment="1" pivotButton="0" quotePrefix="0" xfId="0">
      <alignment wrapText="1"/>
    </xf>
    <xf numFmtId="0" fontId="8" fillId="0" borderId="0" pivotButton="0" quotePrefix="0" xfId="0"/>
    <xf numFmtId="0" fontId="9" fillId="0" borderId="0" pivotButton="0" quotePrefix="0" xfId="0"/>
    <xf numFmtId="0" fontId="10" fillId="5" borderId="1" applyAlignment="1" pivotButton="0" quotePrefix="0" xfId="0">
      <alignment horizontal="center" wrapText="1"/>
    </xf>
    <xf numFmtId="1" fontId="11" fillId="0" borderId="1" applyAlignment="1" pivotButton="0" quotePrefix="0" xfId="0">
      <alignment horizontal="center"/>
    </xf>
    <xf numFmtId="2" fontId="11" fillId="0" borderId="1" applyAlignment="1" pivotButton="0" quotePrefix="0" xfId="0">
      <alignment horizontal="center"/>
    </xf>
    <xf numFmtId="165" fontId="11" fillId="0" borderId="1" applyAlignment="1" pivotButton="0" quotePrefix="0" xfId="0">
      <alignment horizontal="center"/>
    </xf>
    <xf numFmtId="0" fontId="2" fillId="0" borderId="1" applyAlignment="1" pivotButton="0" quotePrefix="0" xfId="0">
      <alignment horizontal="left" vertical="center"/>
    </xf>
    <xf numFmtId="0" fontId="1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style val="10"/>
  <chart>
    <title>
      <tx>
        <rich>
          <a:bodyPr/>
          <a:p>
            <a:pPr>
              <a:defRPr/>
            </a:pPr>
            <a:r>
              <a:t>별점 분포 (1~5점)</a:t>
            </a:r>
          </a:p>
        </rich>
      </tx>
    </title>
    <plotArea>
      <barChart>
        <barDir val="col"/>
        <grouping val="clustered"/>
        <ser>
          <idx val="0"/>
          <order val="0"/>
          <tx>
            <strRef>
              <f>'별점분포'!B1</f>
            </strRef>
          </tx>
          <spPr>
            <a:ln>
              <a:prstDash val="solid"/>
            </a:ln>
          </spPr>
          <cat>
            <numRef>
              <f>'별점분포'!$A$2:$A$6</f>
            </numRef>
          </cat>
          <val>
            <numRef>
              <f>'별점분포'!$B$2:$B$6</f>
            </numRef>
          </val>
        </ser>
        <gapWidth val="150"/>
        <axId val="10"/>
        <axId val="100"/>
      </barChart>
      <catAx>
        <axId val="10"/>
        <scaling>
          <orientation val="minMax"/>
        </scaling>
        <axPos val="l"/>
        <title>
          <tx>
            <rich>
              <a:bodyPr/>
              <a:p>
                <a:pPr>
                  <a:defRPr/>
                </a:pPr>
                <a:r>
                  <a:t>별점</a:t>
                </a:r>
              </a:p>
            </rich>
          </tx>
        </title>
        <majorTickMark val="none"/>
        <minorTickMark val="none"/>
        <crossAx val="100"/>
        <lblOffset val="100"/>
      </catAx>
      <valAx>
        <axId val="100"/>
        <scaling>
          <orientation val="minMax"/>
        </scaling>
        <axPos val="l"/>
        <majorGridlines/>
        <title>
          <tx>
            <rich>
              <a:bodyPr/>
              <a:p>
                <a:pPr>
                  <a:defRPr/>
                </a:pPr>
                <a:r>
                  <a:t>건수</a:t>
                </a:r>
              </a:p>
            </rich>
          </tx>
        </title>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style val="11"/>
  <chart>
    <title>
      <tx>
        <rich>
          <a:bodyPr/>
          <a:p>
            <a:pPr>
              <a:defRPr/>
            </a:pPr>
            <a:r>
              <a:t>테마별 평균 별점</a:t>
            </a:r>
          </a:p>
        </rich>
      </tx>
    </title>
    <plotArea>
      <barChart>
        <barDir val="col"/>
        <grouping val="clustered"/>
        <ser>
          <idx val="0"/>
          <order val="0"/>
          <tx>
            <strRef>
              <f>'테마별피벗'!C1</f>
            </strRef>
          </tx>
          <spPr>
            <a:ln>
              <a:prstDash val="solid"/>
            </a:ln>
          </spPr>
          <cat>
            <numRef>
              <f>'테마별피벗'!$A$2:$A$8</f>
            </numRef>
          </cat>
          <val>
            <numRef>
              <f>'테마별피벗'!$C$2:$C$8</f>
            </numRef>
          </val>
        </ser>
        <gapWidth val="150"/>
        <axId val="10"/>
        <axId val="100"/>
      </barChart>
      <catAx>
        <axId val="10"/>
        <scaling>
          <orientation val="minMax"/>
        </scaling>
        <axPos val="l"/>
        <title>
          <tx>
            <rich>
              <a:bodyPr/>
              <a:p>
                <a:pPr>
                  <a:defRPr/>
                </a:pPr>
                <a:r>
                  <a:t>테마</a:t>
                </a:r>
              </a:p>
            </rich>
          </tx>
        </title>
        <majorTickMark val="none"/>
        <minorTickMark val="none"/>
        <crossAx val="100"/>
        <lblOffset val="100"/>
      </catAx>
      <valAx>
        <axId val="100"/>
        <scaling>
          <orientation val="minMax"/>
        </scaling>
        <axPos val="l"/>
        <majorGridlines/>
        <title>
          <tx>
            <rich>
              <a:bodyPr/>
              <a:p>
                <a:pPr>
                  <a:defRPr/>
                </a:pPr>
                <a:r>
                  <a:t>평균 별점</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row>
      <rowOff>0</rowOff>
    </from>
    <ext cx="5400000" cy="324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0</row>
      <rowOff>0</rowOff>
    </from>
    <ext cx="540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7" customWidth="1" min="3" max="3"/>
    <col width="42" customWidth="1" min="4" max="4"/>
    <col width="10" customWidth="1" min="5" max="5"/>
    <col width="7" customWidth="1" min="6" max="6"/>
    <col width="20" customWidth="1" min="7" max="7"/>
  </cols>
  <sheetData>
    <row r="1" ht="22" customHeight="1">
      <c r="A1" s="1" t="inlineStr">
        <is>
          <t>날짜</t>
        </is>
      </c>
      <c r="B1" s="1" t="inlineStr">
        <is>
          <t>플랫폼</t>
        </is>
      </c>
      <c r="C1" s="1" t="inlineStr">
        <is>
          <t>별점</t>
        </is>
      </c>
      <c r="D1" s="1" t="inlineStr">
        <is>
          <t>리뷰</t>
        </is>
      </c>
      <c r="E1" s="1" t="inlineStr">
        <is>
          <t>테마</t>
        </is>
      </c>
      <c r="F1" s="1" t="inlineStr">
        <is>
          <t>요일</t>
        </is>
      </c>
      <c r="G1" s="1" t="inlineStr">
        <is>
          <t>구분(평일/주말·공휴일)</t>
        </is>
      </c>
    </row>
    <row r="2">
      <c r="A2" s="2" t="n">
        <v>46145</v>
      </c>
      <c r="B2" s="3" t="inlineStr">
        <is>
          <t>네이버</t>
        </is>
      </c>
      <c r="C2" s="3" t="n">
        <v>5</v>
      </c>
      <c r="D2" s="4" t="inlineStr">
        <is>
          <t>라떼가 진하고 부드러워요</t>
        </is>
      </c>
      <c r="E2" s="3" t="inlineStr">
        <is>
          <t>맛</t>
        </is>
      </c>
      <c r="F2" s="3">
        <f>CHOOSE(WEEKDAY(A2),"일","월","화","수","목","금","토")</f>
        <v/>
      </c>
      <c r="G2" s="3">
        <f>IF(OR(WEEKDAY(A2,2)&gt;=6,A2=DATE(2026,5,5)),"주말·공휴일","평일")</f>
        <v/>
      </c>
    </row>
    <row r="3">
      <c r="A3" s="2" t="n">
        <v>46147</v>
      </c>
      <c r="B3" s="3" t="inlineStr">
        <is>
          <t>카카오맵</t>
        </is>
      </c>
      <c r="C3" s="3" t="n">
        <v>4</v>
      </c>
      <c r="D3" s="4" t="inlineStr">
        <is>
          <t>분위기 좋고 사진맛집</t>
        </is>
      </c>
      <c r="E3" s="3" t="inlineStr">
        <is>
          <t>분위기</t>
        </is>
      </c>
      <c r="F3" s="3">
        <f>CHOOSE(WEEKDAY(A3),"일","월","화","수","목","금","토")</f>
        <v/>
      </c>
      <c r="G3" s="3">
        <f>IF(OR(WEEKDAY(A3,2)&gt;=6,A3=DATE(2026,5,5)),"주말·공휴일","평일")</f>
        <v/>
      </c>
    </row>
    <row r="4">
      <c r="A4" s="2" t="n">
        <v>46148</v>
      </c>
      <c r="B4" s="3" t="inlineStr">
        <is>
          <t>인스타</t>
        </is>
      </c>
      <c r="C4" s="3" t="n">
        <v>5</v>
      </c>
      <c r="D4" s="4" t="inlineStr">
        <is>
          <t>디저트 케이크 촉촉하니 맛있음</t>
        </is>
      </c>
      <c r="E4" s="3" t="inlineStr">
        <is>
          <t>디저트</t>
        </is>
      </c>
      <c r="F4" s="3">
        <f>CHOOSE(WEEKDAY(A4),"일","월","화","수","목","금","토")</f>
        <v/>
      </c>
      <c r="G4" s="3">
        <f>IF(OR(WEEKDAY(A4,2)&gt;=6,A4=DATE(2026,5,5)),"주말·공휴일","평일")</f>
        <v/>
      </c>
    </row>
    <row r="5">
      <c r="A5" s="2" t="n">
        <v>46150</v>
      </c>
      <c r="B5" s="3" t="inlineStr">
        <is>
          <t>네이버</t>
        </is>
      </c>
      <c r="C5" s="3" t="n">
        <v>2</v>
      </c>
      <c r="D5" s="4" t="inlineStr">
        <is>
          <t>주말엔 너무 오래 기다려요</t>
        </is>
      </c>
      <c r="E5" s="3" t="inlineStr">
        <is>
          <t>대기시간</t>
        </is>
      </c>
      <c r="F5" s="3">
        <f>CHOOSE(WEEKDAY(A5),"일","월","화","수","목","금","토")</f>
        <v/>
      </c>
      <c r="G5" s="3">
        <f>IF(OR(WEEKDAY(A5,2)&gt;=6,A5=DATE(2026,5,5)),"주말·공휴일","평일")</f>
        <v/>
      </c>
    </row>
    <row r="6">
      <c r="A6" s="2" t="n">
        <v>46151</v>
      </c>
      <c r="B6" s="3" t="inlineStr">
        <is>
          <t>카카오맵</t>
        </is>
      </c>
      <c r="C6" s="3" t="n">
        <v>3</v>
      </c>
      <c r="D6" s="4" t="inlineStr">
        <is>
          <t>맛은 좋은데 가격이 좀 있어요</t>
        </is>
      </c>
      <c r="E6" s="3" t="inlineStr">
        <is>
          <t>가격</t>
        </is>
      </c>
      <c r="F6" s="3">
        <f>CHOOSE(WEEKDAY(A6),"일","월","화","수","목","금","토")</f>
        <v/>
      </c>
      <c r="G6" s="3">
        <f>IF(OR(WEEKDAY(A6,2)&gt;=6,A6=DATE(2026,5,5)),"주말·공휴일","평일")</f>
        <v/>
      </c>
    </row>
    <row r="7">
      <c r="A7" s="2" t="n">
        <v>46153</v>
      </c>
      <c r="B7" s="3" t="inlineStr">
        <is>
          <t>네이버</t>
        </is>
      </c>
      <c r="C7" s="3" t="n">
        <v>5</v>
      </c>
      <c r="D7" s="4" t="inlineStr">
        <is>
          <t>사장님이 친절하세요</t>
        </is>
      </c>
      <c r="E7" s="3" t="inlineStr">
        <is>
          <t>친절</t>
        </is>
      </c>
      <c r="F7" s="3">
        <f>CHOOSE(WEEKDAY(A7),"일","월","화","수","목","금","토")</f>
        <v/>
      </c>
      <c r="G7" s="3">
        <f>IF(OR(WEEKDAY(A7,2)&gt;=6,A7=DATE(2026,5,5)),"주말·공휴일","평일")</f>
        <v/>
      </c>
    </row>
    <row r="8">
      <c r="A8" s="2" t="n">
        <v>46154</v>
      </c>
      <c r="B8" s="3" t="inlineStr">
        <is>
          <t>인스타</t>
        </is>
      </c>
      <c r="C8" s="3" t="n">
        <v>4</v>
      </c>
      <c r="D8" s="4" t="inlineStr">
        <is>
          <t>인테리어 감성 최고</t>
        </is>
      </c>
      <c r="E8" s="3" t="inlineStr">
        <is>
          <t>분위기</t>
        </is>
      </c>
      <c r="F8" s="3">
        <f>CHOOSE(WEEKDAY(A8),"일","월","화","수","목","금","토")</f>
        <v/>
      </c>
      <c r="G8" s="3">
        <f>IF(OR(WEEKDAY(A8,2)&gt;=6,A8=DATE(2026,5,5)),"주말·공휴일","평일")</f>
        <v/>
      </c>
    </row>
    <row r="9">
      <c r="A9" s="2" t="n">
        <v>46156</v>
      </c>
      <c r="B9" s="3" t="inlineStr">
        <is>
          <t>카카오맵</t>
        </is>
      </c>
      <c r="C9" s="3" t="n">
        <v>1</v>
      </c>
      <c r="D9" s="4" t="inlineStr">
        <is>
          <t>주문 밀려서 30분 기다림 별로</t>
        </is>
      </c>
      <c r="E9" s="3" t="inlineStr">
        <is>
          <t>대기시간</t>
        </is>
      </c>
      <c r="F9" s="3">
        <f>CHOOSE(WEEKDAY(A9),"일","월","화","수","목","금","토")</f>
        <v/>
      </c>
      <c r="G9" s="3">
        <f>IF(OR(WEEKDAY(A9,2)&gt;=6,A9=DATE(2026,5,5)),"주말·공휴일","평일")</f>
        <v/>
      </c>
    </row>
    <row r="10">
      <c r="A10" s="2" t="n">
        <v>46157</v>
      </c>
      <c r="B10" s="3" t="inlineStr">
        <is>
          <t>네이버</t>
        </is>
      </c>
      <c r="C10" s="3" t="n">
        <v>5</v>
      </c>
      <c r="D10" s="4" t="inlineStr">
        <is>
          <t>원두 사다 먹는데 신선해요</t>
        </is>
      </c>
      <c r="E10" s="3" t="inlineStr">
        <is>
          <t>맛</t>
        </is>
      </c>
      <c r="F10" s="3">
        <f>CHOOSE(WEEKDAY(A10),"일","월","화","수","목","금","토")</f>
        <v/>
      </c>
      <c r="G10" s="3">
        <f>IF(OR(WEEKDAY(A10,2)&gt;=6,A10=DATE(2026,5,5)),"주말·공휴일","평일")</f>
        <v/>
      </c>
    </row>
    <row r="11">
      <c r="A11" s="2" t="n">
        <v>46158</v>
      </c>
      <c r="B11" s="3" t="inlineStr">
        <is>
          <t>네이버</t>
        </is>
      </c>
      <c r="C11" s="3" t="n">
        <v>4</v>
      </c>
      <c r="D11" s="4" t="inlineStr">
        <is>
          <t>쿠키 종류 다양해서 좋음</t>
        </is>
      </c>
      <c r="E11" s="3" t="inlineStr">
        <is>
          <t>디저트</t>
        </is>
      </c>
      <c r="F11" s="3">
        <f>CHOOSE(WEEKDAY(A11),"일","월","화","수","목","금","토")</f>
        <v/>
      </c>
      <c r="G11" s="3">
        <f>IF(OR(WEEKDAY(A11,2)&gt;=6,A11=DATE(2026,5,5)),"주말·공휴일","평일")</f>
        <v/>
      </c>
    </row>
    <row r="12">
      <c r="A12" s="2" t="n">
        <v>46160</v>
      </c>
      <c r="B12" s="3" t="inlineStr">
        <is>
          <t>카카오맵</t>
        </is>
      </c>
      <c r="C12" s="3" t="n">
        <v>2</v>
      </c>
      <c r="D12" s="4" t="inlineStr">
        <is>
          <t>가격 대비 양이 적어요</t>
        </is>
      </c>
      <c r="E12" s="3" t="inlineStr">
        <is>
          <t>가격</t>
        </is>
      </c>
      <c r="F12" s="3">
        <f>CHOOSE(WEEKDAY(A12),"일","월","화","수","목","금","토")</f>
        <v/>
      </c>
      <c r="G12" s="3">
        <f>IF(OR(WEEKDAY(A12,2)&gt;=6,A12=DATE(2026,5,5)),"주말·공휴일","평일")</f>
        <v/>
      </c>
    </row>
    <row r="13">
      <c r="A13" s="2" t="n">
        <v>46161</v>
      </c>
      <c r="B13" s="3" t="inlineStr">
        <is>
          <t>인스타</t>
        </is>
      </c>
      <c r="C13" s="3" t="n">
        <v>5</v>
      </c>
      <c r="D13" s="4" t="inlineStr">
        <is>
          <t>말차라떼 강추</t>
        </is>
      </c>
      <c r="E13" s="3" t="inlineStr">
        <is>
          <t>맛</t>
        </is>
      </c>
      <c r="F13" s="3">
        <f>CHOOSE(WEEKDAY(A13),"일","월","화","수","목","금","토")</f>
        <v/>
      </c>
      <c r="G13" s="3">
        <f>IF(OR(WEEKDAY(A13,2)&gt;=6,A13=DATE(2026,5,5)),"주말·공휴일","평일")</f>
        <v/>
      </c>
    </row>
    <row r="14">
      <c r="A14" s="2" t="n">
        <v>46162</v>
      </c>
      <c r="B14" s="3" t="inlineStr">
        <is>
          <t>네이버</t>
        </is>
      </c>
      <c r="C14" s="3" t="n">
        <v>3</v>
      </c>
      <c r="D14" s="4" t="inlineStr">
        <is>
          <t>자리가 부족해요 좁음</t>
        </is>
      </c>
      <c r="E14" s="3" t="inlineStr">
        <is>
          <t>분위기</t>
        </is>
      </c>
      <c r="F14" s="3">
        <f>CHOOSE(WEEKDAY(A14),"일","월","화","수","목","금","토")</f>
        <v/>
      </c>
      <c r="G14" s="3">
        <f>IF(OR(WEEKDAY(A14,2)&gt;=6,A14=DATE(2026,5,5)),"주말·공휴일","평일")</f>
        <v/>
      </c>
    </row>
    <row r="15">
      <c r="A15" s="2" t="n">
        <v>46164</v>
      </c>
      <c r="B15" s="3" t="inlineStr">
        <is>
          <t>카카오맵</t>
        </is>
      </c>
      <c r="C15" s="3" t="n">
        <v>5</v>
      </c>
      <c r="D15" s="4" t="inlineStr">
        <is>
          <t>청결하고 깔끔해요</t>
        </is>
      </c>
      <c r="E15" s="3" t="inlineStr">
        <is>
          <t>청결</t>
        </is>
      </c>
      <c r="F15" s="3">
        <f>CHOOSE(WEEKDAY(A15),"일","월","화","수","목","금","토")</f>
        <v/>
      </c>
      <c r="G15" s="3">
        <f>IF(OR(WEEKDAY(A15,2)&gt;=6,A15=DATE(2026,5,5)),"주말·공휴일","평일")</f>
        <v/>
      </c>
    </row>
    <row r="16">
      <c r="A16" s="2" t="n">
        <v>46165</v>
      </c>
      <c r="B16" s="3" t="inlineStr">
        <is>
          <t>네이버</t>
        </is>
      </c>
      <c r="C16" s="3" t="n">
        <v>4</v>
      </c>
      <c r="D16" s="4" t="inlineStr">
        <is>
          <t>직원분들 응대 친절</t>
        </is>
      </c>
      <c r="E16" s="3" t="inlineStr">
        <is>
          <t>친절</t>
        </is>
      </c>
      <c r="F16" s="3">
        <f>CHOOSE(WEEKDAY(A16),"일","월","화","수","목","금","토")</f>
        <v/>
      </c>
      <c r="G16" s="3">
        <f>IF(OR(WEEKDAY(A16,2)&gt;=6,A16=DATE(2026,5,5)),"주말·공휴일","평일")</f>
        <v/>
      </c>
    </row>
    <row r="17">
      <c r="A17" s="2" t="n">
        <v>46167</v>
      </c>
      <c r="B17" s="3" t="inlineStr">
        <is>
          <t>인스타</t>
        </is>
      </c>
      <c r="C17" s="3" t="n">
        <v>2</v>
      </c>
      <c r="D17" s="4" t="inlineStr">
        <is>
          <t>웨이팅 너무 길어요</t>
        </is>
      </c>
      <c r="E17" s="3" t="inlineStr">
        <is>
          <t>대기시간</t>
        </is>
      </c>
      <c r="F17" s="3">
        <f>CHOOSE(WEEKDAY(A17),"일","월","화","수","목","금","토")</f>
        <v/>
      </c>
      <c r="G17" s="3">
        <f>IF(OR(WEEKDAY(A17,2)&gt;=6,A17=DATE(2026,5,5)),"주말·공휴일","평일")</f>
        <v/>
      </c>
    </row>
    <row r="18">
      <c r="A18" s="2" t="n">
        <v>46168</v>
      </c>
      <c r="B18" s="3" t="inlineStr">
        <is>
          <t>카카오맵</t>
        </is>
      </c>
      <c r="C18" s="3" t="n">
        <v>5</v>
      </c>
      <c r="D18" s="4" t="inlineStr">
        <is>
          <t>디저트랑 커피 둘다 굿</t>
        </is>
      </c>
      <c r="E18" s="3" t="inlineStr">
        <is>
          <t>디저트</t>
        </is>
      </c>
      <c r="F18" s="3">
        <f>CHOOSE(WEEKDAY(A18),"일","월","화","수","목","금","토")</f>
        <v/>
      </c>
      <c r="G18" s="3">
        <f>IF(OR(WEEKDAY(A18,2)&gt;=6,A18=DATE(2026,5,5)),"주말·공휴일","평일")</f>
        <v/>
      </c>
    </row>
    <row r="19">
      <c r="A19" s="2" t="n">
        <v>46169</v>
      </c>
      <c r="B19" s="3" t="inlineStr">
        <is>
          <t>네이버</t>
        </is>
      </c>
      <c r="C19" s="3" t="n">
        <v>3</v>
      </c>
      <c r="D19" s="4" t="inlineStr">
        <is>
          <t>가격이 조금 비싼편</t>
        </is>
      </c>
      <c r="E19" s="3" t="inlineStr">
        <is>
          <t>가격</t>
        </is>
      </c>
      <c r="F19" s="3">
        <f>CHOOSE(WEEKDAY(A19),"일","월","화","수","목","금","토")</f>
        <v/>
      </c>
      <c r="G19" s="3">
        <f>IF(OR(WEEKDAY(A19,2)&gt;=6,A19=DATE(2026,5,5)),"주말·공휴일","평일")</f>
        <v/>
      </c>
    </row>
    <row r="20">
      <c r="A20" s="2" t="n">
        <v>46171</v>
      </c>
      <c r="B20" s="3" t="inlineStr">
        <is>
          <t>카카오맵</t>
        </is>
      </c>
      <c r="C20" s="3" t="n">
        <v>4</v>
      </c>
      <c r="D20" s="4" t="inlineStr">
        <is>
          <t>커피 맛 안정적이에요</t>
        </is>
      </c>
      <c r="E20" s="3" t="inlineStr">
        <is>
          <t>맛</t>
        </is>
      </c>
      <c r="F20" s="3">
        <f>CHOOSE(WEEKDAY(A20),"일","월","화","수","목","금","토")</f>
        <v/>
      </c>
      <c r="G20" s="3">
        <f>IF(OR(WEEKDAY(A20,2)&gt;=6,A20=DATE(2026,5,5)),"주말·공휴일","평일")</f>
        <v/>
      </c>
    </row>
    <row r="21">
      <c r="A21" s="2" t="n">
        <v>46172</v>
      </c>
      <c r="B21" s="3" t="inlineStr">
        <is>
          <t>인스타</t>
        </is>
      </c>
      <c r="C21" s="3" t="n">
        <v>5</v>
      </c>
      <c r="D21" s="4" t="inlineStr">
        <is>
          <t>분위기랑 사진 다 만족</t>
        </is>
      </c>
      <c r="E21" s="3" t="inlineStr">
        <is>
          <t>분위기</t>
        </is>
      </c>
      <c r="F21" s="3">
        <f>CHOOSE(WEEKDAY(A21),"일","월","화","수","목","금","토")</f>
        <v/>
      </c>
      <c r="G21" s="3">
        <f>IF(OR(WEEKDAY(A21,2)&gt;=6,A21=DATE(2026,5,5)),"주말·공휴일","평일")</f>
        <v/>
      </c>
    </row>
    <row r="23">
      <c r="A23" s="5" t="inlineStr">
        <is>
          <t>※ '구분' 열은 토·일 + 2026-05-05(어린이날) 공휴일만 반영한 참고용 분류입니다 (WEEKDAY 함수, 이 CSV 기간 내 다른 공휴일 없음).</t>
        </is>
      </c>
    </row>
  </sheetData>
  <autoFilter ref="A1:G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0" customWidth="1" min="1" max="1"/>
    <col width="10" customWidth="1" min="2" max="2"/>
    <col width="10" customWidth="1" min="3" max="3"/>
  </cols>
  <sheetData>
    <row r="1">
      <c r="A1" s="1" t="inlineStr">
        <is>
          <t>별점</t>
        </is>
      </c>
      <c r="B1" s="1" t="inlineStr">
        <is>
          <t>건수</t>
        </is>
      </c>
      <c r="C1" s="1" t="inlineStr">
        <is>
          <t>비율</t>
        </is>
      </c>
    </row>
    <row r="2">
      <c r="A2" s="3" t="n">
        <v>1</v>
      </c>
      <c r="B2" s="3">
        <f>COUNTIF(원본데이터!$C$2:$C$21,A2)</f>
        <v/>
      </c>
      <c r="C2" s="6">
        <f>IFERROR(B2/SUM($B$2:$B$6),0)</f>
        <v/>
      </c>
    </row>
    <row r="3">
      <c r="A3" s="3" t="n">
        <v>2</v>
      </c>
      <c r="B3" s="3">
        <f>COUNTIF(원본데이터!$C$2:$C$21,A3)</f>
        <v/>
      </c>
      <c r="C3" s="6">
        <f>IFERROR(B3/SUM($B$2:$B$6),0)</f>
        <v/>
      </c>
    </row>
    <row r="4">
      <c r="A4" s="3" t="n">
        <v>3</v>
      </c>
      <c r="B4" s="3">
        <f>COUNTIF(원본데이터!$C$2:$C$21,A4)</f>
        <v/>
      </c>
      <c r="C4" s="6">
        <f>IFERROR(B4/SUM($B$2:$B$6),0)</f>
        <v/>
      </c>
    </row>
    <row r="5">
      <c r="A5" s="3" t="n">
        <v>4</v>
      </c>
      <c r="B5" s="3">
        <f>COUNTIF(원본데이터!$C$2:$C$21,A5)</f>
        <v/>
      </c>
      <c r="C5" s="6">
        <f>IFERROR(B5/SUM($B$2:$B$6),0)</f>
        <v/>
      </c>
    </row>
    <row r="6">
      <c r="A6" s="3" t="n">
        <v>5</v>
      </c>
      <c r="B6" s="3">
        <f>COUNTIF(원본데이터!$C$2:$C$21,A6)</f>
        <v/>
      </c>
      <c r="C6" s="6">
        <f>IFERROR(B6/SUM($B$2:$B$6),0)</f>
        <v/>
      </c>
    </row>
    <row r="7">
      <c r="A7" s="7" t="inlineStr">
        <is>
          <t>합계</t>
        </is>
      </c>
      <c r="B7" s="7">
        <f>SUM(B2:B6)</f>
        <v/>
      </c>
      <c r="C7" s="8">
        <f>SUM(C2:C6)</f>
        <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12" customWidth="1" min="1" max="1"/>
    <col width="9" customWidth="1" min="2" max="2"/>
    <col width="11" customWidth="1" min="3" max="3"/>
    <col width="3" customWidth="1" min="4" max="4"/>
    <col width="9" customWidth="1" min="5" max="5"/>
    <col width="9" customWidth="1" min="6" max="6"/>
    <col width="9" customWidth="1" min="7" max="7"/>
    <col width="9" customWidth="1" min="8" max="8"/>
    <col width="9" customWidth="1" min="9" max="9"/>
    <col width="10" customWidth="1" min="10" max="10"/>
  </cols>
  <sheetData>
    <row r="1">
      <c r="A1" s="1" t="inlineStr">
        <is>
          <t>테마</t>
        </is>
      </c>
      <c r="B1" s="1" t="inlineStr">
        <is>
          <t>건수</t>
        </is>
      </c>
      <c r="C1" s="1" t="inlineStr">
        <is>
          <t>평균별점</t>
        </is>
      </c>
    </row>
    <row r="2">
      <c r="A2" s="3" t="inlineStr">
        <is>
          <t>맛</t>
        </is>
      </c>
      <c r="B2" s="3">
        <f>COUNTIF(원본데이터!$E$2:$E$21,A2)</f>
        <v/>
      </c>
      <c r="C2" s="9">
        <f>IFERROR(AVERAGEIF(원본데이터!$E$2:$E$21,A2,원본데이터!$C$2:$C$21),0)</f>
        <v/>
      </c>
    </row>
    <row r="3">
      <c r="A3" s="3" t="inlineStr">
        <is>
          <t>분위기</t>
        </is>
      </c>
      <c r="B3" s="3">
        <f>COUNTIF(원본데이터!$E$2:$E$21,A3)</f>
        <v/>
      </c>
      <c r="C3" s="9">
        <f>IFERROR(AVERAGEIF(원본데이터!$E$2:$E$21,A3,원본데이터!$C$2:$C$21),0)</f>
        <v/>
      </c>
    </row>
    <row r="4">
      <c r="A4" s="3" t="inlineStr">
        <is>
          <t>디저트</t>
        </is>
      </c>
      <c r="B4" s="3">
        <f>COUNTIF(원본데이터!$E$2:$E$21,A4)</f>
        <v/>
      </c>
      <c r="C4" s="9">
        <f>IFERROR(AVERAGEIF(원본데이터!$E$2:$E$21,A4,원본데이터!$C$2:$C$21),0)</f>
        <v/>
      </c>
    </row>
    <row r="5">
      <c r="A5" s="3" t="inlineStr">
        <is>
          <t>대기시간</t>
        </is>
      </c>
      <c r="B5" s="3">
        <f>COUNTIF(원본데이터!$E$2:$E$21,A5)</f>
        <v/>
      </c>
      <c r="C5" s="9">
        <f>IFERROR(AVERAGEIF(원본데이터!$E$2:$E$21,A5,원본데이터!$C$2:$C$21),0)</f>
        <v/>
      </c>
    </row>
    <row r="6">
      <c r="A6" s="3" t="inlineStr">
        <is>
          <t>가격</t>
        </is>
      </c>
      <c r="B6" s="3">
        <f>COUNTIF(원본데이터!$E$2:$E$21,A6)</f>
        <v/>
      </c>
      <c r="C6" s="9">
        <f>IFERROR(AVERAGEIF(원본데이터!$E$2:$E$21,A6,원본데이터!$C$2:$C$21),0)</f>
        <v/>
      </c>
    </row>
    <row r="7">
      <c r="A7" s="3" t="inlineStr">
        <is>
          <t>친절</t>
        </is>
      </c>
      <c r="B7" s="3">
        <f>COUNTIF(원본데이터!$E$2:$E$21,A7)</f>
        <v/>
      </c>
      <c r="C7" s="9">
        <f>IFERROR(AVERAGEIF(원본데이터!$E$2:$E$21,A7,원본데이터!$C$2:$C$21),0)</f>
        <v/>
      </c>
    </row>
    <row r="8">
      <c r="A8" s="3" t="inlineStr">
        <is>
          <t>청결</t>
        </is>
      </c>
      <c r="B8" s="3">
        <f>COUNTIF(원본데이터!$E$2:$E$21,A8)</f>
        <v/>
      </c>
      <c r="C8" s="9">
        <f>IFERROR(AVERAGEIF(원본데이터!$E$2:$E$21,A8,원본데이터!$C$2:$C$21),0)</f>
        <v/>
      </c>
    </row>
    <row r="9">
      <c r="A9" s="7" t="inlineStr">
        <is>
          <t>합계(건수)</t>
        </is>
      </c>
      <c r="B9" s="7">
        <f>SUM(B2:B8)</f>
        <v/>
      </c>
      <c r="C9" s="10" t="n"/>
    </row>
    <row r="10">
      <c r="A10" s="7" t="inlineStr">
        <is>
          <t>전체 평균 별점</t>
        </is>
      </c>
      <c r="B10" s="10" t="n"/>
      <c r="C10" s="11">
        <f>AVERAGE(원본데이터!$C$2:$C$21)</f>
        <v/>
      </c>
    </row>
    <row r="12">
      <c r="A12" s="12" t="inlineStr">
        <is>
          <t>테마 × 별점 교차표 (건수)</t>
        </is>
      </c>
      <c r="B12" s="13" t="n"/>
      <c r="C12" s="13" t="n"/>
      <c r="D12" s="13" t="n"/>
      <c r="E12" s="13" t="n"/>
      <c r="F12" s="13" t="n"/>
      <c r="G12" s="13" t="n"/>
    </row>
    <row r="13">
      <c r="A13" s="1" t="inlineStr">
        <is>
          <t>테마\별점</t>
        </is>
      </c>
      <c r="B13" s="1" t="n">
        <v>1</v>
      </c>
      <c r="C13" s="1" t="n">
        <v>2</v>
      </c>
      <c r="D13" s="1" t="n">
        <v>3</v>
      </c>
      <c r="E13" s="1" t="n">
        <v>4</v>
      </c>
      <c r="F13" s="1" t="n">
        <v>5</v>
      </c>
      <c r="G13" s="1" t="inlineStr">
        <is>
          <t>합계</t>
        </is>
      </c>
    </row>
    <row r="14">
      <c r="A14" s="3" t="inlineStr">
        <is>
          <t>맛</t>
        </is>
      </c>
      <c r="B14" s="3">
        <f>COUNTIFS(원본데이터!$E$2:$E$21,$A14,원본데이터!$C$2:$C$21,B$13)</f>
        <v/>
      </c>
      <c r="C14" s="3">
        <f>COUNTIFS(원본데이터!$E$2:$E$21,$A14,원본데이터!$C$2:$C$21,C$13)</f>
        <v/>
      </c>
      <c r="D14" s="3">
        <f>COUNTIFS(원본데이터!$E$2:$E$21,$A14,원본데이터!$C$2:$C$21,D$13)</f>
        <v/>
      </c>
      <c r="E14" s="3">
        <f>COUNTIFS(원본데이터!$E$2:$E$21,$A14,원본데이터!$C$2:$C$21,E$13)</f>
        <v/>
      </c>
      <c r="F14" s="3">
        <f>COUNTIFS(원본데이터!$E$2:$E$21,$A14,원본데이터!$C$2:$C$21,F$13)</f>
        <v/>
      </c>
      <c r="G14" s="14">
        <f>SUM(B14:F14)</f>
        <v/>
      </c>
    </row>
    <row r="15">
      <c r="A15" s="3" t="inlineStr">
        <is>
          <t>분위기</t>
        </is>
      </c>
      <c r="B15" s="3">
        <f>COUNTIFS(원본데이터!$E$2:$E$21,$A15,원본데이터!$C$2:$C$21,B$13)</f>
        <v/>
      </c>
      <c r="C15" s="3">
        <f>COUNTIFS(원본데이터!$E$2:$E$21,$A15,원본데이터!$C$2:$C$21,C$13)</f>
        <v/>
      </c>
      <c r="D15" s="3">
        <f>COUNTIFS(원본데이터!$E$2:$E$21,$A15,원본데이터!$C$2:$C$21,D$13)</f>
        <v/>
      </c>
      <c r="E15" s="3">
        <f>COUNTIFS(원본데이터!$E$2:$E$21,$A15,원본데이터!$C$2:$C$21,E$13)</f>
        <v/>
      </c>
      <c r="F15" s="3">
        <f>COUNTIFS(원본데이터!$E$2:$E$21,$A15,원본데이터!$C$2:$C$21,F$13)</f>
        <v/>
      </c>
      <c r="G15" s="14">
        <f>SUM(B15:F15)</f>
        <v/>
      </c>
    </row>
    <row r="16">
      <c r="A16" s="3" t="inlineStr">
        <is>
          <t>디저트</t>
        </is>
      </c>
      <c r="B16" s="3">
        <f>COUNTIFS(원본데이터!$E$2:$E$21,$A16,원본데이터!$C$2:$C$21,B$13)</f>
        <v/>
      </c>
      <c r="C16" s="3">
        <f>COUNTIFS(원본데이터!$E$2:$E$21,$A16,원본데이터!$C$2:$C$21,C$13)</f>
        <v/>
      </c>
      <c r="D16" s="3">
        <f>COUNTIFS(원본데이터!$E$2:$E$21,$A16,원본데이터!$C$2:$C$21,D$13)</f>
        <v/>
      </c>
      <c r="E16" s="3">
        <f>COUNTIFS(원본데이터!$E$2:$E$21,$A16,원본데이터!$C$2:$C$21,E$13)</f>
        <v/>
      </c>
      <c r="F16" s="3">
        <f>COUNTIFS(원본데이터!$E$2:$E$21,$A16,원본데이터!$C$2:$C$21,F$13)</f>
        <v/>
      </c>
      <c r="G16" s="14">
        <f>SUM(B16:F16)</f>
        <v/>
      </c>
    </row>
    <row r="17">
      <c r="A17" s="3" t="inlineStr">
        <is>
          <t>대기시간</t>
        </is>
      </c>
      <c r="B17" s="3">
        <f>COUNTIFS(원본데이터!$E$2:$E$21,$A17,원본데이터!$C$2:$C$21,B$13)</f>
        <v/>
      </c>
      <c r="C17" s="3">
        <f>COUNTIFS(원본데이터!$E$2:$E$21,$A17,원본데이터!$C$2:$C$21,C$13)</f>
        <v/>
      </c>
      <c r="D17" s="3">
        <f>COUNTIFS(원본데이터!$E$2:$E$21,$A17,원본데이터!$C$2:$C$21,D$13)</f>
        <v/>
      </c>
      <c r="E17" s="3">
        <f>COUNTIFS(원본데이터!$E$2:$E$21,$A17,원본데이터!$C$2:$C$21,E$13)</f>
        <v/>
      </c>
      <c r="F17" s="3">
        <f>COUNTIFS(원본데이터!$E$2:$E$21,$A17,원본데이터!$C$2:$C$21,F$13)</f>
        <v/>
      </c>
      <c r="G17" s="14">
        <f>SUM(B17:F17)</f>
        <v/>
      </c>
    </row>
    <row r="18">
      <c r="A18" s="3" t="inlineStr">
        <is>
          <t>가격</t>
        </is>
      </c>
      <c r="B18" s="3">
        <f>COUNTIFS(원본데이터!$E$2:$E$21,$A18,원본데이터!$C$2:$C$21,B$13)</f>
        <v/>
      </c>
      <c r="C18" s="3">
        <f>COUNTIFS(원본데이터!$E$2:$E$21,$A18,원본데이터!$C$2:$C$21,C$13)</f>
        <v/>
      </c>
      <c r="D18" s="3">
        <f>COUNTIFS(원본데이터!$E$2:$E$21,$A18,원본데이터!$C$2:$C$21,D$13)</f>
        <v/>
      </c>
      <c r="E18" s="3">
        <f>COUNTIFS(원본데이터!$E$2:$E$21,$A18,원본데이터!$C$2:$C$21,E$13)</f>
        <v/>
      </c>
      <c r="F18" s="3">
        <f>COUNTIFS(원본데이터!$E$2:$E$21,$A18,원본데이터!$C$2:$C$21,F$13)</f>
        <v/>
      </c>
      <c r="G18" s="14">
        <f>SUM(B18:F18)</f>
        <v/>
      </c>
    </row>
    <row r="19">
      <c r="A19" s="3" t="inlineStr">
        <is>
          <t>친절</t>
        </is>
      </c>
      <c r="B19" s="3">
        <f>COUNTIFS(원본데이터!$E$2:$E$21,$A19,원본데이터!$C$2:$C$21,B$13)</f>
        <v/>
      </c>
      <c r="C19" s="3">
        <f>COUNTIFS(원본데이터!$E$2:$E$21,$A19,원본데이터!$C$2:$C$21,C$13)</f>
        <v/>
      </c>
      <c r="D19" s="3">
        <f>COUNTIFS(원본데이터!$E$2:$E$21,$A19,원본데이터!$C$2:$C$21,D$13)</f>
        <v/>
      </c>
      <c r="E19" s="3">
        <f>COUNTIFS(원본데이터!$E$2:$E$21,$A19,원본데이터!$C$2:$C$21,E$13)</f>
        <v/>
      </c>
      <c r="F19" s="3">
        <f>COUNTIFS(원본데이터!$E$2:$E$21,$A19,원본데이터!$C$2:$C$21,F$13)</f>
        <v/>
      </c>
      <c r="G19" s="14">
        <f>SUM(B19:F19)</f>
        <v/>
      </c>
    </row>
    <row r="20">
      <c r="A20" s="3" t="inlineStr">
        <is>
          <t>청결</t>
        </is>
      </c>
      <c r="B20" s="3">
        <f>COUNTIFS(원본데이터!$E$2:$E$21,$A20,원본데이터!$C$2:$C$21,B$13)</f>
        <v/>
      </c>
      <c r="C20" s="3">
        <f>COUNTIFS(원본데이터!$E$2:$E$21,$A20,원본데이터!$C$2:$C$21,C$13)</f>
        <v/>
      </c>
      <c r="D20" s="3">
        <f>COUNTIFS(원본데이터!$E$2:$E$21,$A20,원본데이터!$C$2:$C$21,D$13)</f>
        <v/>
      </c>
      <c r="E20" s="3">
        <f>COUNTIFS(원본데이터!$E$2:$E$21,$A20,원본데이터!$C$2:$C$21,E$13)</f>
        <v/>
      </c>
      <c r="F20" s="3">
        <f>COUNTIFS(원본데이터!$E$2:$E$21,$A20,원본데이터!$C$2:$C$21,F$13)</f>
        <v/>
      </c>
      <c r="G20" s="14">
        <f>SUM(B20:F20)</f>
        <v/>
      </c>
    </row>
    <row r="21">
      <c r="A21" s="7" t="inlineStr">
        <is>
          <t>합계</t>
        </is>
      </c>
      <c r="B21" s="7">
        <f>SUM(B14:B20)</f>
        <v/>
      </c>
      <c r="C21" s="7">
        <f>SUM(C14:C20)</f>
        <v/>
      </c>
      <c r="D21" s="7">
        <f>SUM(D14:D20)</f>
        <v/>
      </c>
      <c r="E21" s="7">
        <f>SUM(E14:E20)</f>
        <v/>
      </c>
      <c r="F21" s="7">
        <f>SUM(F14:F20)</f>
        <v/>
      </c>
      <c r="G21" s="7">
        <f>SUM(G14:G20)</f>
        <v/>
      </c>
    </row>
  </sheetData>
  <mergeCells count="1">
    <mergeCell ref="A12:G12"/>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13" customWidth="1" min="1" max="1"/>
    <col width="12" customWidth="1" min="2" max="2"/>
    <col width="12" customWidth="1" min="3" max="3"/>
    <col width="14" customWidth="1" min="4" max="4"/>
    <col width="46" customWidth="1" min="5" max="5"/>
    <col width="10" customWidth="1" min="6" max="6"/>
  </cols>
  <sheetData>
    <row r="1">
      <c r="A1" s="15" t="inlineStr">
        <is>
          <t>테마별 부정 리뷰(별점 ≤ 2) 현황</t>
        </is>
      </c>
    </row>
    <row r="2">
      <c r="A2" s="1" t="inlineStr">
        <is>
          <t>테마</t>
        </is>
      </c>
      <c r="B2" s="1" t="inlineStr">
        <is>
          <t>전체건수</t>
        </is>
      </c>
      <c r="C2" s="1" t="inlineStr">
        <is>
          <t>부정건수(≤2점)</t>
        </is>
      </c>
      <c r="D2" s="1" t="inlineStr">
        <is>
          <t>부정비율</t>
        </is>
      </c>
    </row>
    <row r="3">
      <c r="A3" s="3" t="inlineStr">
        <is>
          <t>맛</t>
        </is>
      </c>
      <c r="B3" s="3">
        <f>COUNTIF(원본데이터!$E$2:$E$21,A3)</f>
        <v/>
      </c>
      <c r="C3" s="3">
        <f>COUNTIFS(원본데이터!$E$2:$E$21,A3,원본데이터!$C$2:$C$21,"&lt;=2")</f>
        <v/>
      </c>
      <c r="D3" s="6">
        <f>IFERROR(C3/B3,0)</f>
        <v/>
      </c>
    </row>
    <row r="4">
      <c r="A4" s="3" t="inlineStr">
        <is>
          <t>분위기</t>
        </is>
      </c>
      <c r="B4" s="3">
        <f>COUNTIF(원본데이터!$E$2:$E$21,A4)</f>
        <v/>
      </c>
      <c r="C4" s="3">
        <f>COUNTIFS(원본데이터!$E$2:$E$21,A4,원본데이터!$C$2:$C$21,"&lt;=2")</f>
        <v/>
      </c>
      <c r="D4" s="6">
        <f>IFERROR(C4/B4,0)</f>
        <v/>
      </c>
    </row>
    <row r="5">
      <c r="A5" s="3" t="inlineStr">
        <is>
          <t>디저트</t>
        </is>
      </c>
      <c r="B5" s="3">
        <f>COUNTIF(원본데이터!$E$2:$E$21,A5)</f>
        <v/>
      </c>
      <c r="C5" s="3">
        <f>COUNTIFS(원본데이터!$E$2:$E$21,A5,원본데이터!$C$2:$C$21,"&lt;=2")</f>
        <v/>
      </c>
      <c r="D5" s="6">
        <f>IFERROR(C5/B5,0)</f>
        <v/>
      </c>
    </row>
    <row r="6">
      <c r="A6" s="3" t="inlineStr">
        <is>
          <t>대기시간</t>
        </is>
      </c>
      <c r="B6" s="3">
        <f>COUNTIF(원본데이터!$E$2:$E$21,A6)</f>
        <v/>
      </c>
      <c r="C6" s="3">
        <f>COUNTIFS(원본데이터!$E$2:$E$21,A6,원본데이터!$C$2:$C$21,"&lt;=2")</f>
        <v/>
      </c>
      <c r="D6" s="6">
        <f>IFERROR(C6/B6,0)</f>
        <v/>
      </c>
    </row>
    <row r="7">
      <c r="A7" s="3" t="inlineStr">
        <is>
          <t>가격</t>
        </is>
      </c>
      <c r="B7" s="3">
        <f>COUNTIF(원본데이터!$E$2:$E$21,A7)</f>
        <v/>
      </c>
      <c r="C7" s="3">
        <f>COUNTIFS(원본데이터!$E$2:$E$21,A7,원본데이터!$C$2:$C$21,"&lt;=2")</f>
        <v/>
      </c>
      <c r="D7" s="6">
        <f>IFERROR(C7/B7,0)</f>
        <v/>
      </c>
    </row>
    <row r="8">
      <c r="A8" s="3" t="inlineStr">
        <is>
          <t>친절</t>
        </is>
      </c>
      <c r="B8" s="3">
        <f>COUNTIF(원본데이터!$E$2:$E$21,A8)</f>
        <v/>
      </c>
      <c r="C8" s="3">
        <f>COUNTIFS(원본데이터!$E$2:$E$21,A8,원본데이터!$C$2:$C$21,"&lt;=2")</f>
        <v/>
      </c>
      <c r="D8" s="6">
        <f>IFERROR(C8/B8,0)</f>
        <v/>
      </c>
    </row>
    <row r="9">
      <c r="A9" s="3" t="inlineStr">
        <is>
          <t>청결</t>
        </is>
      </c>
      <c r="B9" s="3">
        <f>COUNTIF(원본데이터!$E$2:$E$21,A9)</f>
        <v/>
      </c>
      <c r="C9" s="3">
        <f>COUNTIFS(원본데이터!$E$2:$E$21,A9,원본데이터!$C$2:$C$21,"&lt;=2")</f>
        <v/>
      </c>
      <c r="D9" s="6">
        <f>IFERROR(C9/B9,0)</f>
        <v/>
      </c>
    </row>
    <row r="11">
      <c r="A11" s="15" t="inlineStr">
        <is>
          <t>Top 3 테마 (부정 리뷰 건수 기준)</t>
        </is>
      </c>
    </row>
    <row r="12">
      <c r="A12" s="1" t="inlineStr">
        <is>
          <t>순위</t>
        </is>
      </c>
      <c r="B12" s="1" t="inlineStr">
        <is>
          <t>테마</t>
        </is>
      </c>
      <c r="C12" s="1" t="inlineStr">
        <is>
          <t>부정건수</t>
        </is>
      </c>
    </row>
    <row r="13">
      <c r="A13" s="3" t="n">
        <v>1</v>
      </c>
      <c r="B13" s="3">
        <f>INDEX($A$3:$A$9,MATCH(LARGE($C$3:$C$9,1),$C$3:$C$9,0))</f>
        <v/>
      </c>
      <c r="C13" s="3">
        <f>LARGE($C$3:$C$9,1)</f>
        <v/>
      </c>
    </row>
    <row r="14">
      <c r="A14" s="3" t="n">
        <v>2</v>
      </c>
      <c r="B14" s="3">
        <f>INDEX($A$3:$A$9,MATCH(LARGE($C$3:$C$9,2),$C$3:$C$9,0))</f>
        <v/>
      </c>
      <c r="C14" s="3">
        <f>LARGE($C$3:$C$9,2)</f>
        <v/>
      </c>
    </row>
    <row r="15">
      <c r="A15" s="3" t="n">
        <v>3</v>
      </c>
      <c r="B15" s="3">
        <f>INDEX($A$3:$A$9,MATCH(LARGE($C$3:$C$9,3),$C$3:$C$9,0))</f>
        <v/>
      </c>
      <c r="C15" s="3">
        <f>LARGE($C$3:$C$9,3)</f>
        <v/>
      </c>
    </row>
    <row r="16" ht="55" customHeight="1">
      <c r="A16" s="16" t="inlineStr">
        <is>
          <t>⚠ 주의: 부정 리뷰(별점≤2)가 실제로 존재하는 테마는 '대기시간'(3건)·'가격'(1건) 단 2개뿐입니다. 나머지 5개 테마는 모두 0건으로 동률이라 3위 표시는 통계적 의미가 없습니다. 표본이 20건으로 작아 이 순위를 단정적 근거로 쓰지 마세요.</t>
        </is>
      </c>
    </row>
    <row r="17"/>
    <row r="18"/>
    <row r="20">
      <c r="A20" s="15" t="inlineStr">
        <is>
          <t>부정 리뷰(별점 ≤ 2) 원문 목록</t>
        </is>
      </c>
    </row>
    <row r="21">
      <c r="A21" s="1" t="inlineStr">
        <is>
          <t>테마</t>
        </is>
      </c>
      <c r="B21" s="1" t="inlineStr">
        <is>
          <t>날짜</t>
        </is>
      </c>
      <c r="C21" s="1" t="inlineStr">
        <is>
          <t>플랫폼</t>
        </is>
      </c>
      <c r="D21" s="1" t="inlineStr">
        <is>
          <t>별점</t>
        </is>
      </c>
      <c r="E21" s="1" t="inlineStr">
        <is>
          <t>리뷰 원문</t>
        </is>
      </c>
    </row>
    <row r="22">
      <c r="A22" s="3">
        <f>원본데이터!E5</f>
        <v/>
      </c>
      <c r="B22" s="2">
        <f>원본데이터!A5</f>
        <v/>
      </c>
      <c r="C22" s="3">
        <f>원본데이터!B5</f>
        <v/>
      </c>
      <c r="D22" s="3">
        <f>원본데이터!C5</f>
        <v/>
      </c>
      <c r="E22" s="4">
        <f>원본데이터!D5</f>
        <v/>
      </c>
    </row>
    <row r="23">
      <c r="A23" s="3">
        <f>원본데이터!E9</f>
        <v/>
      </c>
      <c r="B23" s="2">
        <f>원본데이터!A9</f>
        <v/>
      </c>
      <c r="C23" s="3">
        <f>원본데이터!B9</f>
        <v/>
      </c>
      <c r="D23" s="3">
        <f>원본데이터!C9</f>
        <v/>
      </c>
      <c r="E23" s="4">
        <f>원본데이터!D9</f>
        <v/>
      </c>
    </row>
    <row r="24">
      <c r="A24" s="3">
        <f>원본데이터!E17</f>
        <v/>
      </c>
      <c r="B24" s="2">
        <f>원본데이터!A17</f>
        <v/>
      </c>
      <c r="C24" s="3">
        <f>원본데이터!B17</f>
        <v/>
      </c>
      <c r="D24" s="3">
        <f>원본데이터!C17</f>
        <v/>
      </c>
      <c r="E24" s="4">
        <f>원본데이터!D17</f>
        <v/>
      </c>
    </row>
    <row r="25">
      <c r="A25" s="3">
        <f>원본데이터!E12</f>
        <v/>
      </c>
      <c r="B25" s="2">
        <f>원본데이터!A12</f>
        <v/>
      </c>
      <c r="C25" s="3">
        <f>원본데이터!B12</f>
        <v/>
      </c>
      <c r="D25" s="3">
        <f>원본데이터!C12</f>
        <v/>
      </c>
      <c r="E25" s="4">
        <f>원본데이터!D12</f>
        <v/>
      </c>
    </row>
    <row r="27">
      <c r="A27" s="17" t="inlineStr">
        <is>
          <t>※ 위 목록은 현재 데이터 기준 별점≤2 리뷰를 수동으로 골라 원본데이터 시트를 직접 참조(수식)한 것입니다. 위 집계표(건수·비율)는 데이터가 바뀌면 자동 갱신되지만, 이 원문 목록은 자동 필터링이 아니므로 데이터 변경 시 재확인이 필요합니다.</t>
        </is>
      </c>
    </row>
    <row r="28"/>
  </sheetData>
  <mergeCells count="5">
    <mergeCell ref="A1:D1"/>
    <mergeCell ref="A20:E20"/>
    <mergeCell ref="A27:F28"/>
    <mergeCell ref="A11:D11"/>
    <mergeCell ref="A16:F1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cols>
    <col width="16" customWidth="1" min="1" max="1"/>
    <col width="15"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8" t="inlineStr">
        <is>
          <t>딥로스트(Deep Roast) VoC 분석 요약 · 인사이트</t>
        </is>
      </c>
    </row>
    <row r="2">
      <c r="A2" s="19" t="inlineStr">
        <is>
          <t>분석 대상: cafe_reviews.csv 20건 (2026-05-03~2026-05-30 작성일 기준, 네이버·카카오맵·인스타 3채널)</t>
        </is>
      </c>
    </row>
    <row r="4">
      <c r="A4" s="12" t="inlineStr">
        <is>
          <t>핵심 지표 (CSV 20건, 수식 자동계산)</t>
        </is>
      </c>
      <c r="B4" s="13" t="n"/>
      <c r="C4" s="13" t="n"/>
      <c r="D4" s="13" t="n"/>
      <c r="E4" s="13" t="n"/>
      <c r="F4" s="13" t="n"/>
      <c r="G4" s="13" t="n"/>
      <c r="H4" s="13" t="n"/>
      <c r="I4" s="13" t="n"/>
    </row>
    <row r="5">
      <c r="A5" s="20" t="inlineStr">
        <is>
          <t>전체 리뷰 수</t>
        </is>
      </c>
      <c r="B5" s="20" t="inlineStr">
        <is>
          <t>전체 평균 별점</t>
        </is>
      </c>
      <c r="C5" s="20" t="inlineStr">
        <is>
          <t>5점 건수</t>
        </is>
      </c>
      <c r="D5" s="20" t="inlineStr">
        <is>
          <t>1점 건수</t>
        </is>
      </c>
      <c r="E5" s="20" t="inlineStr">
        <is>
          <t>부정비율(≤2점)</t>
        </is>
      </c>
    </row>
    <row r="6">
      <c r="A6" s="21">
        <f>COUNT(원본데이터!C2:C21)</f>
        <v/>
      </c>
      <c r="B6" s="22">
        <f>AVERAGE(원본데이터!C2:C21)</f>
        <v/>
      </c>
      <c r="C6" s="21">
        <f>COUNTIF(원본데이터!C2:C21,5)</f>
        <v/>
      </c>
      <c r="D6" s="21">
        <f>COUNTIF(원본데이터!C2:C21,1)</f>
        <v/>
      </c>
      <c r="E6" s="23">
        <f>COUNTIF(원본데이터!C2:C21,"&lt;=2")/COUNT(원본데이터!C2:C21)</f>
        <v/>
      </c>
    </row>
    <row r="8">
      <c r="A8" s="12" t="inlineStr">
        <is>
          <t>플랫폼별 평균 별점</t>
        </is>
      </c>
      <c r="B8" s="13" t="n"/>
      <c r="C8" s="13" t="n"/>
      <c r="D8" s="13" t="n"/>
      <c r="E8" s="13" t="n"/>
      <c r="F8" s="13" t="n"/>
      <c r="G8" s="13" t="n"/>
      <c r="H8" s="13" t="n"/>
      <c r="I8" s="13" t="n"/>
    </row>
    <row r="9">
      <c r="A9" s="1" t="inlineStr">
        <is>
          <t>플랫폼</t>
        </is>
      </c>
      <c r="B9" s="1" t="inlineStr">
        <is>
          <t>건수</t>
        </is>
      </c>
      <c r="C9" s="1" t="inlineStr">
        <is>
          <t>평균별점</t>
        </is>
      </c>
    </row>
    <row r="10">
      <c r="A10" s="3" t="inlineStr">
        <is>
          <t>네이버</t>
        </is>
      </c>
      <c r="B10" s="3">
        <f>COUNTIF(원본데이터!$B$2:$B$21,A10)</f>
        <v/>
      </c>
      <c r="C10" s="9">
        <f>IFERROR(AVERAGEIF(원본데이터!$B$2:$B$21,A10,원본데이터!$C$2:$C$21),0)</f>
        <v/>
      </c>
    </row>
    <row r="11">
      <c r="A11" s="3" t="inlineStr">
        <is>
          <t>카카오맵</t>
        </is>
      </c>
      <c r="B11" s="3">
        <f>COUNTIF(원본데이터!$B$2:$B$21,A11)</f>
        <v/>
      </c>
      <c r="C11" s="9">
        <f>IFERROR(AVERAGEIF(원본데이터!$B$2:$B$21,A11,원본데이터!$C$2:$C$21),0)</f>
        <v/>
      </c>
    </row>
    <row r="12">
      <c r="A12" s="3" t="inlineStr">
        <is>
          <t>인스타</t>
        </is>
      </c>
      <c r="B12" s="3">
        <f>COUNTIF(원본데이터!$B$2:$B$21,A12)</f>
        <v/>
      </c>
      <c r="C12" s="9">
        <f>IFERROR(AVERAGEIF(원본데이터!$B$2:$B$21,A12,원본데이터!$C$2:$C$21),0)</f>
        <v/>
      </c>
    </row>
    <row r="15">
      <c r="A15" s="12" t="inlineStr">
        <is>
          <t>운영 DB 참고 수치 (별개 데이터셋 — 출처: cafe-analyze.mjs 조회, 2026-07-10)</t>
        </is>
      </c>
      <c r="B15" s="13" t="n"/>
      <c r="C15" s="13" t="n"/>
      <c r="D15" s="13" t="n"/>
      <c r="E15" s="13" t="n"/>
      <c r="F15" s="13" t="n"/>
      <c r="G15" s="13" t="n"/>
      <c r="H15" s="13" t="n"/>
      <c r="I15" s="13" t="n"/>
    </row>
    <row r="16">
      <c r="A16" s="1" t="inlineStr">
        <is>
          <t>구분</t>
        </is>
      </c>
      <c r="B16" s="1" t="inlineStr">
        <is>
          <t>리뷰건수</t>
        </is>
      </c>
      <c r="C16" s="1" t="inlineStr">
        <is>
          <t>평균별점</t>
        </is>
      </c>
      <c r="D16" s="1" t="inlineStr">
        <is>
          <t>부정비율(≤2점)</t>
        </is>
      </c>
    </row>
    <row r="17">
      <c r="A17" s="24" t="inlineStr">
        <is>
          <t>2026-05 · 평일</t>
        </is>
      </c>
      <c r="B17" s="3" t="n">
        <v>24</v>
      </c>
      <c r="C17" s="9" t="n">
        <v>4.42</v>
      </c>
      <c r="D17" s="6" t="n">
        <v>0.083</v>
      </c>
    </row>
    <row r="18">
      <c r="A18" s="24" t="inlineStr">
        <is>
          <t>2026-05 · 주말·공휴일</t>
        </is>
      </c>
      <c r="B18" s="3" t="n">
        <v>17</v>
      </c>
      <c r="C18" s="9" t="n">
        <v>3.06</v>
      </c>
      <c r="D18" s="6" t="n">
        <v>0.412</v>
      </c>
    </row>
    <row r="19">
      <c r="A19" s="24" t="inlineStr">
        <is>
          <t>전체기간(4~6월) · 평일</t>
        </is>
      </c>
      <c r="B19" s="3" t="n">
        <v>84</v>
      </c>
      <c r="C19" s="9" t="n">
        <v>4.17</v>
      </c>
      <c r="D19" s="6" t="n">
        <v>0.119</v>
      </c>
    </row>
    <row r="20">
      <c r="A20" s="24" t="inlineStr">
        <is>
          <t>전체기간(4~6월) · 주말·공휴일</t>
        </is>
      </c>
      <c r="B20" s="3" t="n">
        <v>40</v>
      </c>
      <c r="C20" s="9" t="n">
        <v>3.53</v>
      </c>
      <c r="D20" s="6" t="n">
        <v>0.25</v>
      </c>
    </row>
    <row r="21">
      <c r="A21" s="17" t="inlineStr">
        <is>
          <t>※ 이 표는 cafe-analyze.mjs (읽기전용 CLI, cafe_reviews DB 테이블) 실행 결과를 옮긴 참고용 고정값입니다. 이 워크북의 원본데이터(CSV 20건)와는 별개의 데이터셋이며 자동 연동되지 않습니다.</t>
        </is>
      </c>
    </row>
    <row r="23">
      <c r="A23" s="12" t="inlineStr">
        <is>
          <t>① 진단 (한줄 결론)</t>
        </is>
      </c>
      <c r="B23" s="13" t="n"/>
      <c r="C23" s="13" t="n"/>
      <c r="D23" s="13" t="n"/>
      <c r="E23" s="13" t="n"/>
      <c r="F23" s="13" t="n"/>
      <c r="G23" s="13" t="n"/>
      <c r="H23" s="13" t="n"/>
      <c r="I23" s="13" t="n"/>
    </row>
    <row r="24" ht="86" customHeight="1">
      <c r="A24" s="25" t="inlineStr">
        <is>
          <t>20건 표본의 전체 평균 별점은 3.80점입니다. 부정 리뷰(별점≤2) 4건(전체의 20%)은 '대기시간'(3건)과 '가격'(1건) 단 두 테마에서만 나왔고, 나머지 5개 테마(맛·분위기·디저트·친절·청결)에는 부정 리뷰가 전혀 없습니다. 두 테마 모두 실제 운영 DB(4~6월 124건 기준 최다빈도 불만 1·2위)와 정확히 겹쳐, 표본은 작아도 신호 자체는 신뢰할 만합니다.</t>
        </is>
      </c>
    </row>
    <row r="26">
      <c r="A26" s="12" t="inlineStr">
        <is>
          <t>② 분석 — 컨셉 문서·운영 DB 대조</t>
        </is>
      </c>
      <c r="B26" s="13" t="n"/>
      <c r="C26" s="13" t="n"/>
      <c r="D26" s="13" t="n"/>
      <c r="E26" s="13" t="n"/>
      <c r="F26" s="13" t="n"/>
      <c r="G26" s="13" t="n"/>
      <c r="H26" s="13" t="n"/>
      <c r="I26" s="13" t="n"/>
    </row>
    <row r="27" ht="416" customHeight="1">
      <c r="A27" s="25" t="inlineStr">
        <is>
          <t>컨셉 문서(my_cafe.md)는 '평일 작업러 ↔ 주말 가족 손님의 좌석 충돌'을 이미 알고 있는 리스크로 명시하고, 주말엔 멤버십 지정석을 없애고 전 좌석을 가족에게 개방하는 것을 의도된 트레이드오프라 설명합니다. 실제 운영 DB를 보면 이 트레이드오프의 대가가 리뷰 점수에 뚜렷이 나타납니다 — 2026년 5월 한 달, 평일 리뷰는 24건 평균 4.42점(부정 8.3%)인 반면 주말·공휴일은 17건 평균 3.06점(부정 41.2%)으로 격차가 매우 큽니다. 같은 격차가 전체기간(평일 4.17점·부정11.9% vs 주말·공휴일 3.53점·부정25%)에서도 일관되게 나타나 일시적 현상이 아니라 구조적 패턴임을 보여줍니다.
이 CSV 20건에서도 같은 신호가 잡힙니다 — 부정 리뷰 4건 중 3건이 '대기시간' 테마(평균 1.67점, 7개 테마 중 최저)이고, 문구('주말엔 너무 오래 기다려요', '주문 밀려서 30분 기다림', '웨이팅 너무 길어요')는 DB에서 4~6월 통틀어 가장 빈번한 불만인 '주말에 노트북 하러 갔다가 자리가 없어 그냥 나왔습니다'(7건, 5월에만 5건, 항상 2.0점)와 주제가 일치합니다. 20건짜리 작은 표본이 124건짜리 실제 데이터의 1위 이슈를 그대로 잡아낸 셈입니다.
다만 짚어야 할 점이 있습니다 — CSV의 대기시간 부정 리뷰 3건이 작성된 요일(원본데이터 시트 WEEKDAY 수식 기준: 금·목·월)은 모두 평일이고, '주말엔'이라는 표현이 명시된 것은 1건뿐입니다. 리뷰 작성일이 실제 방문(대기)일과 같다는 보장이 없어 이 3건만으로 '평일에도 대기가 심하다'를 입증할 수는 없지만, 사장님이 1인 운영 체제이고 DB상 평일 피크(14시대 평균 13.4명, 특히 재택이 몰리는 월요일)도 결코 한산하지 않다는 점을 함께 고려하면, 대기 불만을 전부 '주말 가족 vs 평일 작업러' 구도로만 해석해 평일 피크타임 처리 속도 문제를 놓치는 것도 위험합니다.
가격 테마(3건, 평균 2.67점)는 '비싸다'는 불만(2건, 3점)보다 '가격 대비 양이 적다'는 불만(1건, 2점)이 최저점을 만들었습니다. 이 문구는 DB의 2위 불만('가격 대비 아메리카노 양이 적은 것 같아요', 4~6월 5건·5월 2건, 항상 2.0점)과 표현까지 거의 동일합니다. 즉 가격 자체보다 '양에 대한 인지'가 핵심이며, 가격 인하를 정당화하는 근거는 이 데이터에 없습니다.
반대로 DB의 3위 불만인 '스콘이 식어서 나왔다'(4~6월 4건, 5월 1건, 컨셉이 약속한 '갓 구운' 스콘의 실행 문제)는 이번 CSV 20건에는 전혀 나타나지 않습니다(디저트 테마 3건은 모두 4~5점). 이 리포트만 보면 디저트는 문제없어 보이지만, 'CSV에 없다 = 실제로 문제 없다'로 읽으면 안 됩니다.
긍정적으로는, 멤버 리뷰가 평균 4.65점으로 비멤버(3.85점)보다 뚜렷이 높고(전체기간 기준), 맛(4.75)·디저트(4.67)·청결(5.00)·친절(4.50) 테마는 모두 안정적으로 높아 상품력·서비스 자체는 강점으로 확인됩니다.</t>
        </is>
      </c>
    </row>
    <row r="29">
      <c r="A29" s="12" t="inlineStr">
        <is>
          <t>③ 조언 (우선순위순)</t>
        </is>
      </c>
      <c r="B29" s="13" t="n"/>
      <c r="C29" s="13" t="n"/>
      <c r="D29" s="13" t="n"/>
      <c r="E29" s="13" t="n"/>
      <c r="F29" s="13" t="n"/>
      <c r="G29" s="13" t="n"/>
      <c r="H29" s="13" t="n"/>
      <c r="I29" s="13" t="n"/>
    </row>
    <row r="30" ht="227" customHeight="1">
      <c r="A30" s="25" t="inlineStr">
        <is>
          <t>1) 주말 대기 경험 개선 — 근거: CSV 대기시간 테마 1.67점(전 테마 최저), DB 주말 부정비율 25~41%·최다빈도 불만 1위(7건). 컨셉상 주말 가족 손님을 줄이자는 게 아니라 대기 자체의 불쾌감을 낮추는 저비용 조치(대기 예상시간 안내, 착석 전 주문/선결제, 대기 중 아이 응대 등)를 우선 검토하세요. 기대효과: 주말 부정비율 완화, 사장님의 '가족 재방문' 목표에 직결. 리스크: 좌석 자체가 늘어나는 게 아니므로 근본 해결책은 아니며, 확장 같은 구조적 대안은 이 데이터만으로 판단 불가합니다.
2) 아메리카노 잔 용량/얼음량 고지 또는 조정 — 근거: CSV·DB 모두에서 '가격 대비 양이 적다'는 문구가 반복(DB 5건, 5월만 2건, 항상 2.0점). 원인이 명확하고 저비용으로 대응 가능합니다. 기대효과: 반복 발생하는 단일 불만 원인 제거. 리스크: 잔 교체나 증량은 원가에 영향을 줄 수 있어 실제 잔 용량·원가 재계산은 사장님 확인이 필요합니다(이 데이터엔 없음).
3) 가격 인하는 이 데이터로 정당화되지 않습니다 — 가격 테마 평균(2.67점)이 낮아 보이지만 저평점의 원인은 '비싸다'가 아니라 '양이 적다'는 인지 문제입니다. 가격을 낮추기보다 2)번 조치를 우선하세요.
4) 스콘 온도 이슈 재점검 — 이 리포트(CSV 20건)엔 안 잡혔지만 DB엔 4~6월 4건·평균 1.0점으로 반복 확인된 기존 이슈입니다. '갓 구운' 약속과 1인 운영 피크시간 굽기 타이밍을 다시 점검할 가치가 있습니다.</t>
        </is>
      </c>
    </row>
    <row r="32">
      <c r="A32" s="12" t="inlineStr">
        <is>
          <t>④ 데이터 한계</t>
        </is>
      </c>
      <c r="B32" s="13" t="n"/>
      <c r="C32" s="13" t="n"/>
      <c r="D32" s="13" t="n"/>
      <c r="E32" s="13" t="n"/>
      <c r="F32" s="13" t="n"/>
      <c r="G32" s="13" t="n"/>
      <c r="H32" s="13" t="n"/>
      <c r="I32" s="13" t="n"/>
    </row>
    <row r="33" ht="134" customHeight="1">
      <c r="A33" s="25" t="inlineStr">
        <is>
          <t>· 20건은 통계적으로 매우 작은 표본입니다. 테마별로는 1~4건에 불과(청결 1건, 친절 2건 등)해 개별 평균은 참고용입니다.
· 부정 리뷰가 존재하는 테마는 대기시간·가격 2개뿐이라 '부정 테마 Top3'라는 표현 자체가 나머지 5개 테마 0건 동률이라는 뜻입니다 — 3위는 통계적으로 의미가 없습니다.
· 이 CSV(20건, 3채널, 5월)와 운영 DB(124건, 5채널, 4~6월)는 별개의 데이터셋입니다. 매장설문·구글 채널은 이 CSV에 아예 없어 완전히 같은 모집단이 아닐 수 있으므로 '정확히 일치'가 아니라 '같은 방향의 신호'로 해석해야 합니다.
· 리뷰 작성일이 실제 방문일과 같다는 보장이 없습니다. 원본데이터 시트의 요일/구분 열은 참고용입니다.</t>
        </is>
      </c>
    </row>
  </sheetData>
  <mergeCells count="14">
    <mergeCell ref="A15:I15"/>
    <mergeCell ref="A26:I26"/>
    <mergeCell ref="A29:I29"/>
    <mergeCell ref="A2:I2"/>
    <mergeCell ref="A33:I33"/>
    <mergeCell ref="A32:I32"/>
    <mergeCell ref="A1:I1"/>
    <mergeCell ref="A23:I23"/>
    <mergeCell ref="A27:I27"/>
    <mergeCell ref="A8:I8"/>
    <mergeCell ref="A30:I30"/>
    <mergeCell ref="A4:I4"/>
    <mergeCell ref="A24:I24"/>
    <mergeCell ref="A21:I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2026-07-10T04:49:43Z</dcterms:created>
  <dcterms:modified xsi:type="dcterms:W3CDTF">2026-07-10T04:49:43Z</dcterms:modified>
</cp:coreProperties>
</file>